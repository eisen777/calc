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P7626\Results\"/>
    </mc:Choice>
  </mc:AlternateContent>
  <xr:revisionPtr revIDLastSave="0" documentId="13_ncr:1_{F1690A96-81CC-4FD6-84F4-DF0D15B10B3E}" xr6:coauthVersionLast="45" xr6:coauthVersionMax="45" xr10:uidLastSave="{00000000-0000-0000-0000-000000000000}"/>
  <bookViews>
    <workbookView xWindow="3120" yWindow="3120" windowWidth="18900" windowHeight="11505" xr2:uid="{00000000-000D-0000-FFFF-FFFF00000000}"/>
  </bookViews>
  <sheets>
    <sheet name="TestPieceData" sheetId="1" r:id="rId1"/>
    <sheet name="Measurements" sheetId="2" r:id="rId2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H10" i="1"/>
  <c r="B11" i="1"/>
  <c r="E10" i="1"/>
  <c r="B10" i="1"/>
  <c r="B9" i="1"/>
  <c r="K4" i="1"/>
  <c r="H4" i="1"/>
  <c r="B5" i="1"/>
</calcChain>
</file>

<file path=xl/sharedStrings.xml><?xml version="1.0" encoding="utf-8"?>
<sst xmlns="http://schemas.openxmlformats.org/spreadsheetml/2006/main" count="114" uniqueCount="73">
  <si>
    <t>Qn [m³/h]</t>
  </si>
  <si>
    <t>Qm [kg/h]</t>
  </si>
  <si>
    <t>T_TP [°C]</t>
  </si>
  <si>
    <t>T_IN_BELL [°C]</t>
  </si>
  <si>
    <t>Xv [%]</t>
  </si>
  <si>
    <t>T_AMB [°C]</t>
  </si>
  <si>
    <t>H_AMB [%]</t>
  </si>
  <si>
    <t>Данные измерений</t>
  </si>
  <si>
    <t>Дата</t>
  </si>
  <si>
    <t>Время</t>
  </si>
  <si>
    <t>Значения для колокола</t>
  </si>
  <si>
    <t>Сгенерированные импульсы</t>
  </si>
  <si>
    <t>Значения расходомера</t>
  </si>
  <si>
    <t>Значения критических сопел</t>
  </si>
  <si>
    <t>Значения газового счетчика</t>
  </si>
  <si>
    <t>Общие значения поверяемого СИ</t>
  </si>
  <si>
    <t>Pa_AMB [гПа]</t>
  </si>
  <si>
    <t>PA_IN_BELL [гПа]</t>
  </si>
  <si>
    <t>PD_EX_BELL [гПа]</t>
  </si>
  <si>
    <t>PA1_TP [гПа]</t>
  </si>
  <si>
    <t>PA2_TP [гПа]</t>
  </si>
  <si>
    <t>PD_TP [гПа]</t>
  </si>
  <si>
    <t>Ошибка [%]</t>
  </si>
  <si>
    <t>Qm [кг/ч]</t>
  </si>
  <si>
    <t>Значения датчиков при старте</t>
  </si>
  <si>
    <t>Значения датчиковв конце</t>
  </si>
  <si>
    <t>Средние значения датчиков</t>
  </si>
  <si>
    <t>Левая стартовая позиция [мм]</t>
  </si>
  <si>
    <t>Левая конечная позиция [мм]</t>
  </si>
  <si>
    <t>Дистанция слева [мм]</t>
  </si>
  <si>
    <t>Правая стартовая позиция [мм]</t>
  </si>
  <si>
    <t>Правая конечная позиция [мм]</t>
  </si>
  <si>
    <t>Дистанция справа [мм]</t>
  </si>
  <si>
    <t>Разница между дистанциями [мм]</t>
  </si>
  <si>
    <t>Время измерения [с]</t>
  </si>
  <si>
    <t>Неопределенность [%]</t>
  </si>
  <si>
    <t>Начальный объем [м³]</t>
  </si>
  <si>
    <t>Конечный объем [м³]</t>
  </si>
  <si>
    <t>Расчетный объем [м³]</t>
  </si>
  <si>
    <t>Начальная плотность [кг/м³]</t>
  </si>
  <si>
    <t>Конечная плотность [кг/м³]</t>
  </si>
  <si>
    <t>Средняя плотность [кг/м³]</t>
  </si>
  <si>
    <t>Qv [м³/ч]</t>
  </si>
  <si>
    <t>Qv,20,dr,p [м³/ч]</t>
  </si>
  <si>
    <t>Заголовок</t>
  </si>
  <si>
    <t>дата</t>
  </si>
  <si>
    <t>комментарий</t>
  </si>
  <si>
    <t>Общие данные СИ</t>
  </si>
  <si>
    <t>Изготовитель</t>
  </si>
  <si>
    <t>тип, модель</t>
  </si>
  <si>
    <t>Характеристики газового счетчика</t>
  </si>
  <si>
    <t>Qmin [м³/ч]</t>
  </si>
  <si>
    <t>Qmax [м³/ч]</t>
  </si>
  <si>
    <t>Impulse No [имп/м³]</t>
  </si>
  <si>
    <t>Характеристики сопла</t>
  </si>
  <si>
    <t>Qv,20,dr,1000 [м³/ч]</t>
  </si>
  <si>
    <t>Cp [1/гПа]</t>
  </si>
  <si>
    <t>Qv,20,dr,pn [м³/ч]</t>
  </si>
  <si>
    <t>pn [гПа]</t>
  </si>
  <si>
    <t>critical deltaP / Pa [гПа]</t>
  </si>
  <si>
    <t>серийный номер</t>
  </si>
  <si>
    <t>Год выпуска</t>
  </si>
  <si>
    <t>Последняя калибровка</t>
  </si>
  <si>
    <t>Оператор</t>
  </si>
  <si>
    <t>Заказчик</t>
  </si>
  <si>
    <t>Номер измерений</t>
  </si>
  <si>
    <t>испыту́емый</t>
  </si>
  <si>
    <t>мо́дус</t>
  </si>
  <si>
    <t>Qv,20,60,1000 [м³/ч]</t>
  </si>
  <si>
    <t>SonicNozzle</t>
  </si>
  <si>
    <t>Test Protocol No 7</t>
  </si>
  <si>
    <t>sinking</t>
  </si>
  <si>
    <t>09.04.2020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</si>
</sst>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1" fillId="2" borderId="0" xfId="0" applyFont="1" applyFill="1"/>
    <xf numFmtId="0" fontId="2" fillId="2" borderId="0" xfId="0" applyFont="1" applyFill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2" fontId="2" fillId="0" borderId="0" xfId="0" applyNumberFormat="1" applyFont="1" applyAlignment="1">
      <alignment horizontal="left"/>
    </xf>
    <xf numFmtId="0" fontId="4" fillId="0" borderId="0" xfId="0" applyFont="1"/>
    <xf numFmtId="0" fontId="1" fillId="0" borderId="0" xfId="0" applyFont="1" applyAlignment="1">
      <alignment horizontal="center" vertical="center"/>
    </xf>
    <xf numFmtId="0" fontId="5" fillId="0" borderId="0" xfId="0" applyFont="1" applyFill="1"/>
    <xf numFmtId="15" fontId="2" fillId="0" borderId="0" xfId="0" applyNumberFormat="1" applyFont="1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L20"/>
  <sheetViews>
    <sheetView tabSelected="1" zoomScale="160" zoomScaleNormal="160" zoomScaleSheetLayoutView="100" zoomScalePageLayoutView="160" workbookViewId="0">
      <selection activeCell="E20" sqref="E20"/>
    </sheetView>
  </sheetViews>
  <sheetFormatPr defaultColWidth="11.42578125" defaultRowHeight="11.25" customHeight="1" x14ac:dyDescent="0.2"/>
  <cols>
    <col min="1" max="1" width="15.7109375" style="1" customWidth="1"/>
    <col min="2" max="3" width="10.7109375" style="1" customWidth="1"/>
    <col min="4" max="4" width="15.7109375" style="1" customWidth="1"/>
    <col min="5" max="6" width="10.7109375" style="1" customWidth="1"/>
    <col min="7" max="7" width="15.7109375" style="1" customWidth="1"/>
    <col min="8" max="9" width="10.7109375" style="1" customWidth="1"/>
    <col min="10" max="10" width="15.7109375" style="1" customWidth="1"/>
    <col min="11" max="12" width="10.5703125" style="1" customWidth="1"/>
    <col min="13" max="16384" width="11.42578125" style="1"/>
  </cols>
  <sheetData>
    <row r="1" spans="1:12" ht="11.25" customHeight="1" x14ac:dyDescent="0.2">
      <c r="A1" s="14" t="s">
        <v>70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0"/>
    </row>
    <row r="3" spans="1:12" ht="11.25" customHeight="1" x14ac:dyDescent="0.2">
      <c r="A3" s="2" t="s">
        <v>44</v>
      </c>
      <c r="B3" s="2"/>
      <c r="C3" s="3"/>
      <c r="D3" s="3"/>
      <c r="E3" s="3"/>
      <c r="F3" s="3"/>
      <c r="G3" s="3"/>
      <c r="H3" s="3"/>
      <c r="I3" s="3"/>
      <c r="J3" s="3"/>
      <c r="K3" s="3"/>
    </row>
    <row r="4" spans="1:12" ht="11.25" customHeight="1" x14ac:dyDescent="0.2">
      <c r="A4" s="1" t="s">
        <v>45</v>
      </c>
      <c r="B4" s="12">
        <v>43930</v>
      </c>
      <c r="C4" s="5"/>
      <c r="D4" s="11" t="s">
        <v>66</v>
      </c>
      <c r="E4" s="4" t="s">
        <v>69</v>
      </c>
      <c r="G4" s="1" t="s">
        <v>63</v>
      </c>
      <c r="H4" s="4" t="str">
        <f>HexStringToUnicode("420065006400690065006E0065007200")</f>
        <v>Bediener</v>
      </c>
      <c r="J4" s="1" t="s">
        <v>64</v>
      </c>
      <c r="K4" s="4" t="str">
        <f>HexStringToUnicode("")</f>
        <v/>
      </c>
    </row>
    <row r="5" spans="1:12" ht="11.25" customHeight="1" x14ac:dyDescent="0.2">
      <c r="A5" s="1" t="s">
        <v>46</v>
      </c>
      <c r="B5" s="1" t="str">
        <f>HexStringToUnicode("")</f>
        <v/>
      </c>
    </row>
    <row r="8" spans="1:12" ht="11.25" customHeight="1" x14ac:dyDescent="0.2">
      <c r="A8" s="2" t="s">
        <v>47</v>
      </c>
      <c r="B8" s="2"/>
      <c r="C8" s="3"/>
      <c r="D8" s="3"/>
      <c r="E8" s="3"/>
      <c r="F8" s="3"/>
      <c r="G8" s="3"/>
      <c r="H8" s="3"/>
      <c r="I8" s="3"/>
      <c r="J8" s="2"/>
      <c r="K8" s="3"/>
    </row>
    <row r="9" spans="1:12" ht="11.25" customHeight="1" x14ac:dyDescent="0.2">
      <c r="A9" s="1" t="s">
        <v>48</v>
      </c>
      <c r="B9" s="4" t="str">
        <f>HexStringToUnicode("")</f>
        <v/>
      </c>
      <c r="D9" s="11" t="s">
        <v>67</v>
      </c>
      <c r="E9" s="4" t="s">
        <v>71</v>
      </c>
      <c r="G9" s="1" t="s">
        <v>61</v>
      </c>
      <c r="H9" s="4">
        <v>0</v>
      </c>
      <c r="J9" s="1" t="s">
        <v>65</v>
      </c>
      <c r="K9" s="4">
        <v>11</v>
      </c>
      <c r="L9" s="7"/>
    </row>
    <row r="10" spans="1:12" ht="11.25" customHeight="1" x14ac:dyDescent="0.2">
      <c r="A10" s="1" t="s">
        <v>49</v>
      </c>
      <c r="B10" s="4" t="str">
        <f>HexStringToUnicode("")</f>
        <v/>
      </c>
      <c r="C10" s="5"/>
      <c r="D10" s="1" t="s">
        <v>60</v>
      </c>
      <c r="E10" s="4" t="str">
        <f>HexStringToUnicode("")</f>
        <v/>
      </c>
      <c r="G10" s="1" t="s">
        <v>62</v>
      </c>
      <c r="H10" s="8" t="str">
        <f>HexStringToUnicode("")</f>
        <v/>
      </c>
      <c r="J10" s="6"/>
      <c r="K10" s="4"/>
      <c r="L10" s="7"/>
    </row>
    <row r="11" spans="1:12" ht="11.25" customHeight="1" x14ac:dyDescent="0.2">
      <c r="A11" s="1" t="s">
        <v>46</v>
      </c>
      <c r="B11" s="1" t="str">
        <f>HexStringToUnicode("")</f>
        <v/>
      </c>
    </row>
    <row r="14" spans="1:12" ht="11.25" customHeight="1" x14ac:dyDescent="0.2">
      <c r="A14" s="2" t="s">
        <v>50</v>
      </c>
      <c r="B14" s="2"/>
      <c r="C14" s="3"/>
      <c r="D14" s="2" t="s">
        <v>54</v>
      </c>
      <c r="E14" s="3"/>
      <c r="F14" s="3"/>
      <c r="G14" s="3"/>
      <c r="H14" s="3"/>
      <c r="I14" s="3"/>
      <c r="J14" s="2"/>
      <c r="K14" s="3"/>
    </row>
    <row r="15" spans="1:12" ht="11.25" customHeight="1" x14ac:dyDescent="0.2">
      <c r="A15" s="1" t="s">
        <v>51</v>
      </c>
      <c r="D15" s="1" t="s">
        <v>55</v>
      </c>
      <c r="E15" s="1">
        <v>0</v>
      </c>
    </row>
    <row r="16" spans="1:12" ht="11.25" customHeight="1" x14ac:dyDescent="0.2">
      <c r="A16" s="1" t="s">
        <v>52</v>
      </c>
      <c r="D16" s="1" t="s">
        <v>56</v>
      </c>
      <c r="E16" s="1">
        <v>0</v>
      </c>
    </row>
    <row r="17" spans="1:6" ht="11.25" customHeight="1" x14ac:dyDescent="0.2">
      <c r="A17" s="1" t="s">
        <v>53</v>
      </c>
      <c r="D17" s="1" t="s">
        <v>57</v>
      </c>
      <c r="E17" s="1">
        <v>0</v>
      </c>
    </row>
    <row r="18" spans="1:6" ht="11.25" customHeight="1" x14ac:dyDescent="0.2">
      <c r="D18" s="1" t="s">
        <v>58</v>
      </c>
      <c r="E18" s="1">
        <v>0</v>
      </c>
    </row>
    <row r="19" spans="1:6" ht="11.25" customHeight="1" x14ac:dyDescent="0.2">
      <c r="D19" s="1" t="s">
        <v>59</v>
      </c>
      <c r="E19" s="1">
        <v>0</v>
      </c>
      <c r="F19" s="1">
        <v>0</v>
      </c>
    </row>
    <row r="20" spans="1:6" ht="11.25" customHeight="1" x14ac:dyDescent="0.2">
      <c r="D20" s="1" t="s">
        <v>68</v>
      </c>
      <c r="E20" s="1">
        <f xml:space="preserve"> E15 * (1+0.169*0.01409089474) / (1+0.169*0)</f>
        <v>0</v>
      </c>
    </row>
  </sheetData>
  <mergeCells count="1">
    <mergeCell ref="A1:K1"/>
  </mergeCells>
  <printOptions horizontalCentered="1"/>
  <pageMargins left="0.55118110236220474" right="0.55118110236220474" top="0.19685039370078741" bottom="0.59055118110236227" header="0" footer="0.19685039370078741"/>
  <pageSetup paperSize="9" orientation="landscape" r:id="rId1"/>
  <headerFooter>
    <oddFooter>&amp;LProtocol Number 123&amp;RSeite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L83"/>
  <sheetViews>
    <sheetView workbookViewId="0"/>
  </sheetViews>
  <sheetFormatPr defaultColWidth="11.42578125" defaultRowHeight="15" x14ac:dyDescent="0.25"/>
  <cols>
    <col min="1" max="1" width="34.140625" customWidth="1"/>
  </cols>
  <sheetData>
    <row r="2" spans="1:12" x14ac:dyDescent="0.25">
      <c r="A2" s="9" t="s">
        <v>7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</row>
    <row r="3" spans="1:12" x14ac:dyDescent="0.25">
      <c r="A3" t="s">
        <v>8</v>
      </c>
      <c r="B3" t="s">
        <v>72</v>
      </c>
      <c r="C3" t="s">
        <v>72</v>
      </c>
      <c r="D3" t="s">
        <v>72</v>
      </c>
      <c r="E3" t="s">
        <v>72</v>
      </c>
      <c r="F3" t="s">
        <v>72</v>
      </c>
      <c r="G3" t="s">
        <v>72</v>
      </c>
      <c r="H3" t="s">
        <v>72</v>
      </c>
      <c r="I3" t="s">
        <v>72</v>
      </c>
      <c r="J3" t="s">
        <v>72</v>
      </c>
      <c r="K3" t="s">
        <v>72</v>
      </c>
      <c r="L3" t="s">
        <v>72</v>
      </c>
    </row>
    <row r="4" spans="1:12" x14ac:dyDescent="0.25">
      <c r="A4" t="s">
        <v>9</v>
      </c>
      <c r="B4" s="13">
        <v>0.62777777777777777</v>
      </c>
      <c r="C4" s="13">
        <v>0.63611111111111118</v>
      </c>
      <c r="D4" s="13">
        <v>0.64513888888888882</v>
      </c>
      <c r="E4" s="13">
        <v>0.65347222222222223</v>
      </c>
      <c r="F4" s="13">
        <v>0.66180555555555554</v>
      </c>
      <c r="G4" s="13">
        <v>0.67013888888888884</v>
      </c>
      <c r="H4" s="13">
        <v>0.67847222222222225</v>
      </c>
      <c r="I4" s="13">
        <v>0.68680555555555556</v>
      </c>
      <c r="J4" s="13">
        <v>0.69513888888888886</v>
      </c>
      <c r="K4" s="13">
        <v>0.70347222222222217</v>
      </c>
      <c r="L4" s="13">
        <v>0.71250000000000002</v>
      </c>
    </row>
    <row r="5" spans="1:12" x14ac:dyDescent="0.25">
      <c r="A5" t="s">
        <v>27</v>
      </c>
      <c r="B5">
        <v>388.91079416411674</v>
      </c>
      <c r="C5">
        <v>388.87279492410141</v>
      </c>
      <c r="D5">
        <v>388.96279312413753</v>
      </c>
      <c r="E5">
        <v>388.51830201395967</v>
      </c>
      <c r="F5">
        <v>388.90779422411549</v>
      </c>
      <c r="G5">
        <v>388.90579426411477</v>
      </c>
      <c r="H5">
        <v>388.91729403411932</v>
      </c>
      <c r="I5">
        <v>388.85079536409273</v>
      </c>
      <c r="J5">
        <v>388.77679684406314</v>
      </c>
      <c r="K5">
        <v>388.56680104397913</v>
      </c>
      <c r="L5">
        <v>388.49980238395233</v>
      </c>
    </row>
    <row r="6" spans="1:12" x14ac:dyDescent="0.25">
      <c r="A6" t="s">
        <v>28</v>
      </c>
      <c r="B6">
        <v>1143.1944768882977</v>
      </c>
      <c r="C6">
        <v>1143.2364890718306</v>
      </c>
      <c r="D6">
        <v>1143.2514934230924</v>
      </c>
      <c r="E6">
        <v>1143.255994728471</v>
      </c>
      <c r="F6">
        <v>1143.2589955987237</v>
      </c>
      <c r="G6">
        <v>1143.2589955987237</v>
      </c>
      <c r="H6">
        <v>1143.1329590481237</v>
      </c>
      <c r="I6">
        <v>1143.0564368566882</v>
      </c>
      <c r="J6">
        <v>1143.2659976293126</v>
      </c>
      <c r="K6">
        <v>1143.0274284442487</v>
      </c>
      <c r="L6">
        <v>1143.2339883466204</v>
      </c>
    </row>
    <row r="7" spans="1:12" x14ac:dyDescent="0.25">
      <c r="A7" t="s">
        <v>29</v>
      </c>
      <c r="B7">
        <v>754.28368272418095</v>
      </c>
      <c r="C7">
        <v>754.36369414772923</v>
      </c>
      <c r="D7">
        <v>754.28870029895484</v>
      </c>
      <c r="E7">
        <v>754.73769271451135</v>
      </c>
      <c r="F7">
        <v>754.35120137460819</v>
      </c>
      <c r="G7">
        <v>754.35320133460891</v>
      </c>
      <c r="H7">
        <v>754.21566501400434</v>
      </c>
      <c r="I7">
        <v>754.20564149259542</v>
      </c>
      <c r="J7">
        <v>754.48920078524941</v>
      </c>
      <c r="K7">
        <v>754.46062740026957</v>
      </c>
      <c r="L7">
        <v>754.73418596266811</v>
      </c>
    </row>
    <row r="8" spans="1:12" x14ac:dyDescent="0.25">
      <c r="A8" t="s">
        <v>30</v>
      </c>
      <c r="B8">
        <v>390.11595898638711</v>
      </c>
      <c r="C8">
        <v>390.07357215546517</v>
      </c>
      <c r="D8">
        <v>390.14505200998457</v>
      </c>
      <c r="E8">
        <v>389.70116973220621</v>
      </c>
      <c r="F8">
        <v>390.12053025885433</v>
      </c>
      <c r="G8">
        <v>390.09236516449704</v>
      </c>
      <c r="H8">
        <v>390.10882858275238</v>
      </c>
      <c r="I8">
        <v>390.05086230827226</v>
      </c>
      <c r="J8">
        <v>389.98657634728289</v>
      </c>
      <c r="K8">
        <v>389.77972138430317</v>
      </c>
      <c r="L8">
        <v>389.7104294892552</v>
      </c>
    </row>
    <row r="9" spans="1:12" x14ac:dyDescent="0.25">
      <c r="A9" t="s">
        <v>31</v>
      </c>
      <c r="B9">
        <v>1144.3349237569014</v>
      </c>
      <c r="C9">
        <v>1144.4058251910346</v>
      </c>
      <c r="D9">
        <v>1144.3859583337501</v>
      </c>
      <c r="E9">
        <v>1144.394133633429</v>
      </c>
      <c r="F9">
        <v>1144.3907101656423</v>
      </c>
      <c r="G9">
        <v>1144.397161522199</v>
      </c>
      <c r="H9">
        <v>1144.2755136490193</v>
      </c>
      <c r="I9">
        <v>1144.2154491264678</v>
      </c>
      <c r="J9">
        <v>1144.4244467069698</v>
      </c>
      <c r="K9">
        <v>1144.1564736671351</v>
      </c>
      <c r="L9">
        <v>1144.4007998724146</v>
      </c>
    </row>
    <row r="10" spans="1:12" x14ac:dyDescent="0.25">
      <c r="A10" t="s">
        <v>32</v>
      </c>
      <c r="B10">
        <v>754.21896477051428</v>
      </c>
      <c r="C10">
        <v>754.33225303556947</v>
      </c>
      <c r="D10">
        <v>754.24090632376556</v>
      </c>
      <c r="E10">
        <v>754.69296390122281</v>
      </c>
      <c r="F10">
        <v>754.27017990678792</v>
      </c>
      <c r="G10">
        <v>754.30479635770189</v>
      </c>
      <c r="H10">
        <v>754.16668506626695</v>
      </c>
      <c r="I10">
        <v>754.16458681819552</v>
      </c>
      <c r="J10">
        <v>754.43787035968694</v>
      </c>
      <c r="K10">
        <v>754.37675228283183</v>
      </c>
      <c r="L10">
        <v>754.69037038315946</v>
      </c>
    </row>
    <row r="11" spans="1:12" x14ac:dyDescent="0.25">
      <c r="A11" t="s">
        <v>33</v>
      </c>
      <c r="B11">
        <v>6.4717953666672656E-2</v>
      </c>
      <c r="C11">
        <v>3.1441112159768636E-2</v>
      </c>
      <c r="D11">
        <v>4.7793975189279081E-2</v>
      </c>
      <c r="E11">
        <v>4.4728813288543279E-2</v>
      </c>
      <c r="F11">
        <v>8.1021467820278303E-2</v>
      </c>
      <c r="G11">
        <v>4.8404976907022501E-2</v>
      </c>
      <c r="H11">
        <v>4.8979947737393559E-2</v>
      </c>
      <c r="I11">
        <v>4.1054674399902069E-2</v>
      </c>
      <c r="J11">
        <v>5.1330425562468918E-2</v>
      </c>
      <c r="K11">
        <v>8.3875117437742119E-2</v>
      </c>
      <c r="L11">
        <v>4.3815579508645897E-2</v>
      </c>
    </row>
    <row r="12" spans="1:12" x14ac:dyDescent="0.25">
      <c r="A12" t="s">
        <v>34</v>
      </c>
      <c r="B12">
        <v>297.84519999999998</v>
      </c>
      <c r="C12">
        <v>297.84019999999998</v>
      </c>
      <c r="D12">
        <v>297.72910000000002</v>
      </c>
      <c r="E12">
        <v>297.99610000000001</v>
      </c>
      <c r="F12">
        <v>297.78719999999998</v>
      </c>
      <c r="G12">
        <v>297.738</v>
      </c>
      <c r="H12">
        <v>297.7602</v>
      </c>
      <c r="I12">
        <v>297.6232</v>
      </c>
      <c r="J12">
        <v>297.88720000000001</v>
      </c>
      <c r="K12">
        <v>297.82619999999997</v>
      </c>
      <c r="L12">
        <v>298.0181</v>
      </c>
    </row>
    <row r="13" spans="1:12" x14ac:dyDescent="0.25">
      <c r="A13" t="s">
        <v>35</v>
      </c>
      <c r="B13">
        <v>6.1124395348806253E-2</v>
      </c>
      <c r="C13">
        <v>6.1031285476198086E-2</v>
      </c>
      <c r="D13">
        <v>6.1043039359619938E-2</v>
      </c>
      <c r="E13">
        <v>6.1054086500981063E-2</v>
      </c>
      <c r="F13">
        <v>6.104838421349968E-2</v>
      </c>
      <c r="G13">
        <v>6.1467666696340344E-2</v>
      </c>
      <c r="H13">
        <v>6.1054667218517579E-2</v>
      </c>
      <c r="I13">
        <v>6.1262013583556658E-2</v>
      </c>
      <c r="J13">
        <v>6.103818690429727E-2</v>
      </c>
      <c r="K13">
        <v>6.1031488028663233E-2</v>
      </c>
      <c r="L13">
        <v>6.1056854950530814E-2</v>
      </c>
    </row>
    <row r="15" spans="1:12" x14ac:dyDescent="0.25">
      <c r="A15" s="9" t="s">
        <v>10</v>
      </c>
      <c r="B15">
        <v>1</v>
      </c>
      <c r="C15">
        <v>2</v>
      </c>
      <c r="D15">
        <v>3</v>
      </c>
      <c r="E15">
        <v>4</v>
      </c>
      <c r="F15">
        <v>5</v>
      </c>
      <c r="G15">
        <v>6</v>
      </c>
      <c r="H15">
        <v>7</v>
      </c>
      <c r="I15">
        <v>8</v>
      </c>
      <c r="J15">
        <v>9</v>
      </c>
      <c r="K15">
        <v>10</v>
      </c>
      <c r="L15">
        <v>11</v>
      </c>
    </row>
    <row r="16" spans="1:12" x14ac:dyDescent="0.25">
      <c r="A16" t="s">
        <v>36</v>
      </c>
      <c r="B16">
        <v>0.86689768686111213</v>
      </c>
      <c r="C16">
        <v>0.86693068547803764</v>
      </c>
      <c r="D16">
        <v>0.8668604652882409</v>
      </c>
      <c r="E16">
        <v>0.86724139554720292</v>
      </c>
      <c r="F16">
        <v>0.86689514645711463</v>
      </c>
      <c r="G16">
        <v>0.86690991336160161</v>
      </c>
      <c r="H16">
        <v>0.86689684359340591</v>
      </c>
      <c r="I16">
        <v>0.86694857007556503</v>
      </c>
      <c r="J16">
        <v>0.86700956768725423</v>
      </c>
      <c r="K16">
        <v>0.86718568545142138</v>
      </c>
      <c r="L16">
        <v>0.86724628606240584</v>
      </c>
    </row>
    <row r="17" spans="1:12" x14ac:dyDescent="0.25">
      <c r="A17" t="s">
        <v>37</v>
      </c>
      <c r="B17">
        <v>0.22402152077849974</v>
      </c>
      <c r="C17">
        <v>0.22396979607322601</v>
      </c>
      <c r="D17">
        <v>0.22397290861421629</v>
      </c>
      <c r="E17">
        <v>0.22396931373169299</v>
      </c>
      <c r="F17">
        <v>0.22396506157482951</v>
      </c>
      <c r="G17">
        <v>0.2239682995986402</v>
      </c>
      <c r="H17">
        <v>0.22407001583328565</v>
      </c>
      <c r="I17">
        <v>0.22413298544041776</v>
      </c>
      <c r="J17">
        <v>0.22395161981884756</v>
      </c>
      <c r="K17">
        <v>0.22416450762323631</v>
      </c>
      <c r="L17">
        <v>0.22397787788115067</v>
      </c>
    </row>
    <row r="18" spans="1:12" x14ac:dyDescent="0.25">
      <c r="A18" t="s">
        <v>38</v>
      </c>
      <c r="B18">
        <v>0.64287616608261233</v>
      </c>
      <c r="C18">
        <v>0.64296088940481166</v>
      </c>
      <c r="D18">
        <v>0.64288755667402464</v>
      </c>
      <c r="E18">
        <v>0.64327208181550999</v>
      </c>
      <c r="F18">
        <v>0.64293008488228509</v>
      </c>
      <c r="G18">
        <v>0.64294161376296144</v>
      </c>
      <c r="H18">
        <v>0.64282682776012035</v>
      </c>
      <c r="I18">
        <v>0.64281558463514732</v>
      </c>
      <c r="J18">
        <v>0.64305794786840675</v>
      </c>
      <c r="K18">
        <v>0.64302117782818502</v>
      </c>
      <c r="L18">
        <v>0.64326840818125519</v>
      </c>
    </row>
    <row r="19" spans="1:12" x14ac:dyDescent="0.25">
      <c r="A19" t="s">
        <v>4</v>
      </c>
      <c r="B19">
        <v>6.2823025671092918E-3</v>
      </c>
      <c r="C19">
        <v>6.31137206035845E-3</v>
      </c>
      <c r="D19">
        <v>6.3274405360783416E-3</v>
      </c>
      <c r="E19">
        <v>6.3069388159594543E-3</v>
      </c>
      <c r="F19">
        <v>6.3246458215524088E-3</v>
      </c>
      <c r="G19">
        <v>6.2444125576376318E-3</v>
      </c>
      <c r="H19">
        <v>6.3157107528585233E-3</v>
      </c>
      <c r="I19">
        <v>6.326717438811533E-3</v>
      </c>
      <c r="J19">
        <v>6.3179986053581768E-3</v>
      </c>
      <c r="K19">
        <v>6.3255291153666128E-3</v>
      </c>
      <c r="L19">
        <v>6.3018075305700137E-3</v>
      </c>
    </row>
    <row r="20" spans="1:12" x14ac:dyDescent="0.25">
      <c r="A20" t="s">
        <v>39</v>
      </c>
      <c r="B20">
        <v>1.2006600415756998</v>
      </c>
      <c r="C20">
        <v>1.2004204177226765</v>
      </c>
      <c r="D20">
        <v>1.1998677768097787</v>
      </c>
      <c r="E20">
        <v>1.2002217480714974</v>
      </c>
      <c r="F20">
        <v>1.1997684417374275</v>
      </c>
      <c r="G20">
        <v>1.1996595193322557</v>
      </c>
      <c r="H20">
        <v>1.1996303863895754</v>
      </c>
      <c r="I20">
        <v>1.1991957846095491</v>
      </c>
      <c r="J20">
        <v>1.1996680201705785</v>
      </c>
      <c r="K20">
        <v>1.1991811316165721</v>
      </c>
      <c r="L20">
        <v>1.1995234090429894</v>
      </c>
    </row>
    <row r="21" spans="1:12" x14ac:dyDescent="0.25">
      <c r="A21" t="s">
        <v>40</v>
      </c>
      <c r="B21">
        <v>1.2009098259106215</v>
      </c>
      <c r="C21">
        <v>1.2005124651936134</v>
      </c>
      <c r="D21">
        <v>1.2000024914103475</v>
      </c>
      <c r="E21">
        <v>1.2003814079012751</v>
      </c>
      <c r="F21">
        <v>1.1999088470601595</v>
      </c>
      <c r="G21">
        <v>1.2002016607993546</v>
      </c>
      <c r="H21">
        <v>1.1997600453941619</v>
      </c>
      <c r="I21">
        <v>1.1995867435055974</v>
      </c>
      <c r="J21">
        <v>1.1997747936797789</v>
      </c>
      <c r="K21">
        <v>1.1992626929183581</v>
      </c>
      <c r="L21">
        <v>1.1996763625023013</v>
      </c>
    </row>
    <row r="22" spans="1:12" x14ac:dyDescent="0.25">
      <c r="A22" t="s">
        <v>41</v>
      </c>
      <c r="B22">
        <v>1.2007849337431606</v>
      </c>
      <c r="C22">
        <v>1.200466441458145</v>
      </c>
      <c r="D22">
        <v>1.199935134110063</v>
      </c>
      <c r="E22">
        <v>1.2003015779863864</v>
      </c>
      <c r="F22">
        <v>1.1998386443987936</v>
      </c>
      <c r="G22">
        <v>1.1999305900658053</v>
      </c>
      <c r="H22">
        <v>1.1996952158918686</v>
      </c>
      <c r="I22">
        <v>1.1993912640575732</v>
      </c>
      <c r="J22">
        <v>1.1997214069251787</v>
      </c>
      <c r="K22">
        <v>1.1992219122674652</v>
      </c>
      <c r="L22">
        <v>1.1995998857726453</v>
      </c>
    </row>
    <row r="23" spans="1:12" x14ac:dyDescent="0.25">
      <c r="A23" t="s">
        <v>42</v>
      </c>
      <c r="B23">
        <v>7.7924383767589633</v>
      </c>
      <c r="C23">
        <v>7.7934653261189535</v>
      </c>
      <c r="D23">
        <v>7.795201091365767</v>
      </c>
      <c r="E23">
        <v>7.7946129065494558</v>
      </c>
      <c r="F23">
        <v>7.7957167584244997</v>
      </c>
      <c r="G23">
        <v>7.7958565495003995</v>
      </c>
      <c r="H23">
        <v>7.7944647353871366</v>
      </c>
      <c r="I23">
        <v>7.7969545306150199</v>
      </c>
      <c r="J23">
        <v>7.7946417923443496</v>
      </c>
      <c r="K23">
        <v>7.8496990172311882</v>
      </c>
      <c r="L23">
        <v>7.7919457249412041</v>
      </c>
    </row>
    <row r="24" spans="1:12" x14ac:dyDescent="0.25">
      <c r="A24" t="s">
        <v>1</v>
      </c>
      <c r="B24">
        <v>9.3288431776933809</v>
      </c>
      <c r="C24">
        <v>9.3287942625184304</v>
      </c>
      <c r="D24">
        <v>9.3267994542661672</v>
      </c>
      <c r="E24">
        <v>9.3266998495312787</v>
      </c>
      <c r="F24">
        <v>9.3248091547080882</v>
      </c>
      <c r="G24">
        <v>9.3245826107617553</v>
      </c>
      <c r="H24">
        <v>9.3231128776112158</v>
      </c>
      <c r="I24">
        <v>9.3231535892647077</v>
      </c>
      <c r="J24">
        <v>9.3228433953055578</v>
      </c>
      <c r="K24">
        <v>9.3205033335432734</v>
      </c>
      <c r="L24">
        <v>9.3205497269864406</v>
      </c>
    </row>
    <row r="25" spans="1:12" x14ac:dyDescent="0.25">
      <c r="A25" t="s">
        <v>0</v>
      </c>
      <c r="B25">
        <v>7.7856019944287871</v>
      </c>
      <c r="C25">
        <v>7.7855611711373678</v>
      </c>
      <c r="D25">
        <v>7.7838963577396614</v>
      </c>
      <c r="E25">
        <v>7.7838132303027612</v>
      </c>
      <c r="F25">
        <v>7.7822353071770429</v>
      </c>
      <c r="G25">
        <v>7.7820462396831633</v>
      </c>
      <c r="H25">
        <v>7.7808196398647125</v>
      </c>
      <c r="I25">
        <v>7.7808536167174243</v>
      </c>
      <c r="J25">
        <v>7.7805947371692303</v>
      </c>
      <c r="K25">
        <v>7.7786417844636802</v>
      </c>
      <c r="L25">
        <v>7.7786805031854733</v>
      </c>
    </row>
    <row r="27" spans="1:12" x14ac:dyDescent="0.25">
      <c r="A27" s="9" t="s">
        <v>15</v>
      </c>
      <c r="B27">
        <v>1</v>
      </c>
      <c r="C27">
        <v>2</v>
      </c>
      <c r="D27">
        <v>3</v>
      </c>
      <c r="E27">
        <v>4</v>
      </c>
      <c r="F27">
        <v>5</v>
      </c>
      <c r="G27">
        <v>6</v>
      </c>
      <c r="H27">
        <v>7</v>
      </c>
      <c r="I27">
        <v>8</v>
      </c>
      <c r="J27">
        <v>9</v>
      </c>
      <c r="K27">
        <v>10</v>
      </c>
      <c r="L27">
        <v>11</v>
      </c>
    </row>
    <row r="28" spans="1:12" x14ac:dyDescent="0.25">
      <c r="A28" t="s">
        <v>4</v>
      </c>
      <c r="B28">
        <v>6.2827498739208123E-3</v>
      </c>
      <c r="C28">
        <v>6.3121341735202603E-3</v>
      </c>
      <c r="D28">
        <v>6.3271629913064986E-3</v>
      </c>
      <c r="E28">
        <v>6.3074097654300526E-3</v>
      </c>
      <c r="F28">
        <v>6.3246683708145452E-3</v>
      </c>
      <c r="G28">
        <v>6.2446884222664926E-3</v>
      </c>
      <c r="H28">
        <v>6.3157918319874237E-3</v>
      </c>
      <c r="I28">
        <v>6.3261975958186466E-3</v>
      </c>
      <c r="J28">
        <v>6.3179069697626138E-3</v>
      </c>
      <c r="K28">
        <v>6.3260201364185647E-3</v>
      </c>
      <c r="L28">
        <v>6.3018552579583546E-3</v>
      </c>
    </row>
    <row r="29" spans="1:12" x14ac:dyDescent="0.25">
      <c r="A29" t="s">
        <v>39</v>
      </c>
      <c r="B29">
        <v>1.2007149757661204</v>
      </c>
      <c r="C29">
        <v>1.2004637062675738</v>
      </c>
      <c r="D29">
        <v>1.1999374719329166</v>
      </c>
      <c r="E29">
        <v>1.2003063072825961</v>
      </c>
      <c r="F29">
        <v>1.1998761314806761</v>
      </c>
      <c r="G29">
        <v>1.1999247663474719</v>
      </c>
      <c r="H29">
        <v>1.199765409969527</v>
      </c>
      <c r="I29">
        <v>1.1992749483162459</v>
      </c>
      <c r="J29">
        <v>1.1997779524868657</v>
      </c>
      <c r="K29">
        <v>1.199275779237678</v>
      </c>
      <c r="L29">
        <v>1.1995519185893371</v>
      </c>
    </row>
    <row r="30" spans="1:12" x14ac:dyDescent="0.25">
      <c r="A30" t="s">
        <v>40</v>
      </c>
      <c r="B30">
        <v>1.2007468151842451</v>
      </c>
      <c r="C30">
        <v>1.2002900176540752</v>
      </c>
      <c r="D30">
        <v>1.1999725120046083</v>
      </c>
      <c r="E30">
        <v>1.2001903109883496</v>
      </c>
      <c r="F30">
        <v>1.1997280569460951</v>
      </c>
      <c r="G30">
        <v>1.2001242367524338</v>
      </c>
      <c r="H30">
        <v>1.1996004421339692</v>
      </c>
      <c r="I30">
        <v>1.1997546736174085</v>
      </c>
      <c r="J30">
        <v>1.1996361667630666</v>
      </c>
      <c r="K30">
        <v>1.1990934944336622</v>
      </c>
      <c r="L30">
        <v>1.1995150413796856</v>
      </c>
    </row>
    <row r="31" spans="1:12" x14ac:dyDescent="0.25">
      <c r="A31" t="s">
        <v>41</v>
      </c>
      <c r="B31">
        <v>1.2007308954751827</v>
      </c>
      <c r="C31">
        <v>1.2003768619608244</v>
      </c>
      <c r="D31">
        <v>1.1999549919687624</v>
      </c>
      <c r="E31">
        <v>1.200248309135473</v>
      </c>
      <c r="F31">
        <v>1.1998020942133856</v>
      </c>
      <c r="G31">
        <v>1.2000245015499529</v>
      </c>
      <c r="H31">
        <v>1.1996829260517481</v>
      </c>
      <c r="I31">
        <v>1.1995148109668272</v>
      </c>
      <c r="J31">
        <v>1.1997070596249662</v>
      </c>
      <c r="K31">
        <v>1.1991846368356702</v>
      </c>
      <c r="L31">
        <v>1.1995334799845114</v>
      </c>
    </row>
    <row r="32" spans="1:12" x14ac:dyDescent="0.25">
      <c r="A32" t="s">
        <v>42</v>
      </c>
      <c r="B32">
        <v>7.7693038572156841</v>
      </c>
      <c r="C32">
        <v>7.7715545493602542</v>
      </c>
      <c r="D32">
        <v>7.7726244039901173</v>
      </c>
      <c r="E32">
        <v>7.7706419401242135</v>
      </c>
      <c r="F32">
        <v>7.7719560581544256</v>
      </c>
      <c r="G32">
        <v>7.7703268547584772</v>
      </c>
      <c r="H32">
        <v>7.7713141323885644</v>
      </c>
      <c r="I32">
        <v>7.772437242146351</v>
      </c>
      <c r="J32">
        <v>7.7709331794879342</v>
      </c>
      <c r="K32">
        <v>7.7723671962122571</v>
      </c>
      <c r="L32">
        <v>7.7701455461724924</v>
      </c>
    </row>
    <row r="34" spans="1:12" x14ac:dyDescent="0.25">
      <c r="A34" s="9" t="s">
        <v>14</v>
      </c>
    </row>
    <row r="35" spans="1:12" x14ac:dyDescent="0.25">
      <c r="A35" t="s">
        <v>11</v>
      </c>
    </row>
    <row r="36" spans="1:12" x14ac:dyDescent="0.25">
      <c r="A36" t="s">
        <v>42</v>
      </c>
    </row>
    <row r="37" spans="1:12" x14ac:dyDescent="0.25">
      <c r="A37" t="s">
        <v>22</v>
      </c>
    </row>
    <row r="39" spans="1:12" x14ac:dyDescent="0.25">
      <c r="A39" s="9" t="s">
        <v>13</v>
      </c>
      <c r="B39">
        <v>1</v>
      </c>
      <c r="C39">
        <v>2</v>
      </c>
      <c r="D39">
        <v>3</v>
      </c>
      <c r="E39">
        <v>4</v>
      </c>
      <c r="F39">
        <v>5</v>
      </c>
      <c r="G39">
        <v>6</v>
      </c>
      <c r="H39">
        <v>7</v>
      </c>
      <c r="I39">
        <v>8</v>
      </c>
      <c r="J39">
        <v>9</v>
      </c>
      <c r="K39">
        <v>10</v>
      </c>
      <c r="L39">
        <v>11</v>
      </c>
    </row>
    <row r="40" spans="1:12" x14ac:dyDescent="0.25">
      <c r="A40" t="s">
        <v>43</v>
      </c>
      <c r="B40">
        <v>7.746042948837931</v>
      </c>
      <c r="C40">
        <v>7.7475117113435132</v>
      </c>
      <c r="D40">
        <v>7.7476253734210063</v>
      </c>
      <c r="E40">
        <v>7.747380292721382</v>
      </c>
      <c r="F40">
        <v>7.7475627444242523</v>
      </c>
      <c r="G40">
        <v>7.7473290476041008</v>
      </c>
      <c r="H40">
        <v>7.7475580643732824</v>
      </c>
      <c r="I40">
        <v>7.7481368290251629</v>
      </c>
      <c r="J40">
        <v>7.7476291208552022</v>
      </c>
      <c r="K40">
        <v>7.747842528301339</v>
      </c>
      <c r="L40">
        <v>7.7473714310189123</v>
      </c>
    </row>
    <row r="41" spans="1:12" x14ac:dyDescent="0.25">
      <c r="A41" t="s">
        <v>22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</row>
    <row r="43" spans="1:12" x14ac:dyDescent="0.25">
      <c r="A43" s="9" t="s">
        <v>12</v>
      </c>
    </row>
    <row r="44" spans="1:12" x14ac:dyDescent="0.25">
      <c r="A44" t="s">
        <v>42</v>
      </c>
    </row>
    <row r="45" spans="1:12" x14ac:dyDescent="0.25">
      <c r="A45" t="s">
        <v>22</v>
      </c>
    </row>
    <row r="46" spans="1:12" x14ac:dyDescent="0.25">
      <c r="A46" t="s">
        <v>23</v>
      </c>
    </row>
    <row r="47" spans="1:12" x14ac:dyDescent="0.25">
      <c r="A47" t="s">
        <v>22</v>
      </c>
    </row>
    <row r="49" spans="1:12" x14ac:dyDescent="0.25">
      <c r="A49" s="9" t="s">
        <v>24</v>
      </c>
      <c r="B49">
        <v>1</v>
      </c>
      <c r="C49">
        <v>2</v>
      </c>
      <c r="D49">
        <v>3</v>
      </c>
      <c r="E49">
        <v>4</v>
      </c>
      <c r="F49">
        <v>5</v>
      </c>
      <c r="G49">
        <v>6</v>
      </c>
      <c r="H49">
        <v>7</v>
      </c>
      <c r="I49">
        <v>8</v>
      </c>
      <c r="J49">
        <v>9</v>
      </c>
      <c r="K49">
        <v>10</v>
      </c>
      <c r="L49">
        <v>11</v>
      </c>
    </row>
    <row r="50" spans="1:12" x14ac:dyDescent="0.25">
      <c r="A50" t="s">
        <v>5</v>
      </c>
      <c r="B50">
        <v>21.112844210526315</v>
      </c>
      <c r="C50">
        <v>21.252254736842101</v>
      </c>
      <c r="D50">
        <v>21.314989473684207</v>
      </c>
      <c r="E50">
        <v>21.189519999999995</v>
      </c>
      <c r="F50">
        <v>21.278145263157889</v>
      </c>
      <c r="G50">
        <v>21.036168421052629</v>
      </c>
      <c r="H50">
        <v>21.231343157894734</v>
      </c>
      <c r="I50">
        <v>21.303039999999996</v>
      </c>
      <c r="J50">
        <v>21.189519999999995</v>
      </c>
      <c r="K50">
        <v>21.273564631578946</v>
      </c>
      <c r="L50">
        <v>21.122802105263155</v>
      </c>
    </row>
    <row r="51" spans="1:12" x14ac:dyDescent="0.25">
      <c r="A51" t="s">
        <v>16</v>
      </c>
      <c r="B51">
        <v>1003.9654321289063</v>
      </c>
      <c r="C51">
        <v>1003.8883691406249</v>
      </c>
      <c r="D51">
        <v>1003.5799829101562</v>
      </c>
      <c r="E51">
        <v>1003.5533959960937</v>
      </c>
      <c r="F51">
        <v>1003.3725244140625</v>
      </c>
      <c r="G51">
        <v>1003.2912255859375</v>
      </c>
      <c r="H51">
        <v>1003.12025390625</v>
      </c>
      <c r="I51">
        <v>1002.9573510742188</v>
      </c>
      <c r="J51">
        <v>1003.0019067382813</v>
      </c>
      <c r="K51">
        <v>1002.9491845703125</v>
      </c>
      <c r="L51">
        <v>1002.75208984375</v>
      </c>
    </row>
    <row r="52" spans="1:12" x14ac:dyDescent="0.25">
      <c r="A52" t="s">
        <v>6</v>
      </c>
      <c r="B52">
        <v>25.080624161073825</v>
      </c>
      <c r="C52">
        <v>24.980020134228184</v>
      </c>
      <c r="D52">
        <v>24.939778523489931</v>
      </c>
      <c r="E52">
        <v>25.050442953020131</v>
      </c>
      <c r="F52">
        <v>24.980020134228184</v>
      </c>
      <c r="G52">
        <v>25.030322147651006</v>
      </c>
      <c r="H52">
        <v>25.010201342281878</v>
      </c>
      <c r="I52">
        <v>24.939778523489931</v>
      </c>
      <c r="J52">
        <v>25.080624161073825</v>
      </c>
      <c r="K52">
        <v>24.980020134228184</v>
      </c>
      <c r="L52">
        <v>25.112817449664426</v>
      </c>
    </row>
    <row r="53" spans="1:12" x14ac:dyDescent="0.25">
      <c r="A53" t="s">
        <v>3</v>
      </c>
      <c r="B53">
        <v>21.184180858550317</v>
      </c>
      <c r="C53">
        <v>21.203154116819139</v>
      </c>
      <c r="D53">
        <v>21.29003166783955</v>
      </c>
      <c r="E53">
        <v>21.161213230119635</v>
      </c>
      <c r="F53">
        <v>21.242099225897256</v>
      </c>
      <c r="G53">
        <v>21.236107670654469</v>
      </c>
      <c r="H53">
        <v>21.203154116819139</v>
      </c>
      <c r="I53">
        <v>21.275052779732579</v>
      </c>
      <c r="J53">
        <v>21.164209007741029</v>
      </c>
      <c r="K53">
        <v>21.246093596059112</v>
      </c>
      <c r="L53">
        <v>21.119272343420125</v>
      </c>
    </row>
    <row r="54" spans="1:12" x14ac:dyDescent="0.25">
      <c r="A54" t="s">
        <v>2</v>
      </c>
      <c r="B54">
        <v>21.165137614678898</v>
      </c>
      <c r="C54">
        <v>21.187213302752291</v>
      </c>
      <c r="D54">
        <v>21.267488532110093</v>
      </c>
      <c r="E54">
        <v>21.135034403669724</v>
      </c>
      <c r="F54">
        <v>21.210292431192663</v>
      </c>
      <c r="G54">
        <v>21.166141055045873</v>
      </c>
      <c r="H54">
        <v>21.165137614678898</v>
      </c>
      <c r="I54">
        <v>21.25043004587156</v>
      </c>
      <c r="J54">
        <v>21.132024082568805</v>
      </c>
      <c r="K54">
        <v>21.217316513761467</v>
      </c>
      <c r="L54">
        <v>21.106938073394495</v>
      </c>
    </row>
    <row r="55" spans="1:12" x14ac:dyDescent="0.25">
      <c r="A55" t="s">
        <v>17</v>
      </c>
      <c r="B55">
        <v>1016.5060000000001</v>
      </c>
      <c r="C55">
        <v>1016.38</v>
      </c>
      <c r="D55">
        <v>1016.2190000000001</v>
      </c>
      <c r="E55">
        <v>1016.0650000000001</v>
      </c>
      <c r="F55">
        <v>1015.9680000000001</v>
      </c>
      <c r="G55">
        <v>1015.8244000000001</v>
      </c>
      <c r="H55">
        <v>1015.7130000000001</v>
      </c>
      <c r="I55">
        <v>1015.5980000000001</v>
      </c>
      <c r="J55">
        <v>1015.6110000000001</v>
      </c>
      <c r="K55">
        <v>1015.485</v>
      </c>
      <c r="L55">
        <v>1015.327</v>
      </c>
    </row>
    <row r="56" spans="1:12" x14ac:dyDescent="0.25">
      <c r="A56" t="s">
        <v>18</v>
      </c>
      <c r="B56">
        <v>1.9443805798065192E-2</v>
      </c>
      <c r="C56">
        <v>1.8544049843322759E-2</v>
      </c>
      <c r="D56">
        <v>1.8997814043533331E-2</v>
      </c>
      <c r="E56">
        <v>1.9052963241111762E-2</v>
      </c>
      <c r="F56">
        <v>1.8893878444206244E-2</v>
      </c>
      <c r="G56">
        <v>1.7570849045288092E-2</v>
      </c>
      <c r="H56">
        <v>1.7244781836044318E-2</v>
      </c>
      <c r="I56">
        <v>1.8133528812896735E-2</v>
      </c>
      <c r="J56">
        <v>1.8319504245292668E-2</v>
      </c>
      <c r="K56">
        <v>1.9399984463226324E-2</v>
      </c>
      <c r="L56">
        <v>1.8542151435386664E-2</v>
      </c>
    </row>
    <row r="57" spans="1:12" x14ac:dyDescent="0.25">
      <c r="A57" t="s">
        <v>19</v>
      </c>
      <c r="B57">
        <v>185.11399601560822</v>
      </c>
      <c r="C57">
        <v>184.41980397468788</v>
      </c>
      <c r="D57">
        <v>184.84831603080022</v>
      </c>
      <c r="E57">
        <v>184.22679261988389</v>
      </c>
      <c r="F57">
        <v>183.90857719296207</v>
      </c>
      <c r="G57">
        <v>183.74261858173594</v>
      </c>
      <c r="H57">
        <v>183.80848556691399</v>
      </c>
      <c r="I57">
        <v>183.78805580431214</v>
      </c>
      <c r="J57">
        <v>183.95565498512974</v>
      </c>
      <c r="K57">
        <v>184.17348417288048</v>
      </c>
      <c r="L57">
        <v>184.05381759184581</v>
      </c>
    </row>
    <row r="58" spans="1:12" x14ac:dyDescent="0.25">
      <c r="A58" t="s">
        <v>20</v>
      </c>
      <c r="B58">
        <v>1016.486556194202</v>
      </c>
      <c r="C58">
        <v>1016.3614559501566</v>
      </c>
      <c r="D58">
        <v>1016.2000021859565</v>
      </c>
      <c r="E58">
        <v>1016.0459470367589</v>
      </c>
      <c r="F58">
        <v>1015.9491061215558</v>
      </c>
      <c r="G58">
        <v>1015.8068291509547</v>
      </c>
      <c r="H58">
        <v>1015.695755218164</v>
      </c>
      <c r="I58">
        <v>1015.5798664711871</v>
      </c>
      <c r="J58">
        <v>1015.5926804957547</v>
      </c>
      <c r="K58">
        <v>1015.4656000155368</v>
      </c>
      <c r="L58">
        <v>1015.3084578485646</v>
      </c>
    </row>
    <row r="59" spans="1:12" x14ac:dyDescent="0.25">
      <c r="A59" t="s">
        <v>21</v>
      </c>
      <c r="B59">
        <v>831.37256017859374</v>
      </c>
      <c r="C59">
        <v>831.94165197546874</v>
      </c>
      <c r="D59">
        <v>831.35168615515624</v>
      </c>
      <c r="E59">
        <v>831.81915441687499</v>
      </c>
      <c r="F59">
        <v>832.04052892859374</v>
      </c>
      <c r="G59">
        <v>832.06421056921874</v>
      </c>
      <c r="H59">
        <v>831.88726965124999</v>
      </c>
      <c r="I59">
        <v>831.79181066687499</v>
      </c>
      <c r="J59">
        <v>831.63702551062499</v>
      </c>
      <c r="K59">
        <v>831.29211584265624</v>
      </c>
      <c r="L59">
        <v>831.25464025671874</v>
      </c>
    </row>
    <row r="61" spans="1:12" x14ac:dyDescent="0.25">
      <c r="A61" s="9" t="s">
        <v>25</v>
      </c>
      <c r="B61">
        <v>1</v>
      </c>
      <c r="C61">
        <v>2</v>
      </c>
      <c r="D61">
        <v>3</v>
      </c>
      <c r="E61">
        <v>4</v>
      </c>
      <c r="F61">
        <v>5</v>
      </c>
      <c r="G61">
        <v>6</v>
      </c>
      <c r="H61">
        <v>7</v>
      </c>
      <c r="I61">
        <v>8</v>
      </c>
      <c r="J61">
        <v>9</v>
      </c>
      <c r="K61">
        <v>10</v>
      </c>
      <c r="L61">
        <v>11</v>
      </c>
    </row>
    <row r="62" spans="1:12" x14ac:dyDescent="0.25">
      <c r="A62" t="s">
        <v>5</v>
      </c>
      <c r="B62">
        <v>21.204456842105259</v>
      </c>
      <c r="C62">
        <v>21.281132631578942</v>
      </c>
      <c r="D62">
        <v>21.12877684210526</v>
      </c>
      <c r="E62">
        <v>21.229351578947366</v>
      </c>
      <c r="F62">
        <v>21.303039999999996</v>
      </c>
      <c r="G62">
        <v>21.17358736842105</v>
      </c>
      <c r="H62">
        <v>21.263208421052632</v>
      </c>
      <c r="I62">
        <v>21.003307368421048</v>
      </c>
      <c r="J62">
        <v>21.23034736842105</v>
      </c>
      <c r="K62">
        <v>21.247076631578945</v>
      </c>
      <c r="L62">
        <v>21.18752842105263</v>
      </c>
    </row>
    <row r="63" spans="1:12" x14ac:dyDescent="0.25">
      <c r="A63" t="s">
        <v>16</v>
      </c>
      <c r="B63">
        <v>1003.8911767578124</v>
      </c>
      <c r="C63">
        <v>1003.8136621093749</v>
      </c>
      <c r="D63">
        <v>1003.5684106445312</v>
      </c>
      <c r="E63">
        <v>1003.4636254882812</v>
      </c>
      <c r="F63">
        <v>1003.3309838867187</v>
      </c>
      <c r="G63">
        <v>1003.2573999023438</v>
      </c>
      <c r="H63">
        <v>1003.0652124023437</v>
      </c>
      <c r="I63">
        <v>1003.0258447265625</v>
      </c>
      <c r="J63">
        <v>1002.961806640625</v>
      </c>
      <c r="K63">
        <v>1002.8338037109374</v>
      </c>
      <c r="L63">
        <v>1002.771767578125</v>
      </c>
    </row>
    <row r="64" spans="1:12" x14ac:dyDescent="0.25">
      <c r="A64" t="s">
        <v>6</v>
      </c>
      <c r="B64">
        <v>25.030322147651006</v>
      </c>
      <c r="C64">
        <v>24.980020134228184</v>
      </c>
      <c r="D64">
        <v>24.980020134228184</v>
      </c>
      <c r="E64">
        <v>25.030322147651006</v>
      </c>
      <c r="F64">
        <v>24.939778523489931</v>
      </c>
      <c r="G64">
        <v>25.080624161073825</v>
      </c>
      <c r="H64">
        <v>24.980020134228184</v>
      </c>
      <c r="I64">
        <v>25.080624161073825</v>
      </c>
      <c r="J64">
        <v>25.030322147651006</v>
      </c>
      <c r="K64">
        <v>24.939778523489931</v>
      </c>
      <c r="L64">
        <v>25.080624161073825</v>
      </c>
    </row>
    <row r="65" spans="1:12" x14ac:dyDescent="0.25">
      <c r="A65" t="s">
        <v>3</v>
      </c>
      <c r="B65">
        <v>21.098301900070371</v>
      </c>
      <c r="C65">
        <v>21.159216045038704</v>
      </c>
      <c r="D65">
        <v>21.235109078114004</v>
      </c>
      <c r="E65">
        <v>21.106290640394089</v>
      </c>
      <c r="F65">
        <v>21.194166783954959</v>
      </c>
      <c r="G65">
        <v>21.095306122448978</v>
      </c>
      <c r="H65">
        <v>21.153224489795917</v>
      </c>
      <c r="I65">
        <v>21.18717663617171</v>
      </c>
      <c r="J65">
        <v>21.121269528501053</v>
      </c>
      <c r="K65">
        <v>21.204152709359605</v>
      </c>
      <c r="L65">
        <v>21.071339901477835</v>
      </c>
    </row>
    <row r="66" spans="1:12" x14ac:dyDescent="0.25">
      <c r="A66" t="s">
        <v>2</v>
      </c>
      <c r="B66">
        <v>21.133027522935777</v>
      </c>
      <c r="C66">
        <v>21.208285550458715</v>
      </c>
      <c r="D66">
        <v>21.237385321100916</v>
      </c>
      <c r="E66">
        <v>21.148079128440365</v>
      </c>
      <c r="F66">
        <v>21.233371559633028</v>
      </c>
      <c r="G66">
        <v>21.10894495412844</v>
      </c>
      <c r="H66">
        <v>21.187213302752291</v>
      </c>
      <c r="I66">
        <v>21.14105504587156</v>
      </c>
      <c r="J66">
        <v>21.150086009174309</v>
      </c>
      <c r="K66">
        <v>21.240395642201833</v>
      </c>
      <c r="L66">
        <v>21.105934633027523</v>
      </c>
    </row>
    <row r="67" spans="1:12" x14ac:dyDescent="0.25">
      <c r="A67" t="s">
        <v>17</v>
      </c>
      <c r="B67">
        <v>1016.4200000000001</v>
      </c>
      <c r="C67">
        <v>1016.3058000000001</v>
      </c>
      <c r="D67">
        <v>1016.143</v>
      </c>
      <c r="E67">
        <v>1016.01</v>
      </c>
      <c r="F67">
        <v>1015.921</v>
      </c>
      <c r="G67">
        <v>1015.796</v>
      </c>
      <c r="H67">
        <v>1015.6500000000001</v>
      </c>
      <c r="I67">
        <v>1015.625</v>
      </c>
      <c r="J67">
        <v>1015.5528</v>
      </c>
      <c r="K67">
        <v>1015.409</v>
      </c>
      <c r="L67">
        <v>1015.2906</v>
      </c>
    </row>
    <row r="68" spans="1:12" x14ac:dyDescent="0.25">
      <c r="A68" t="s">
        <v>18</v>
      </c>
      <c r="B68">
        <v>1.7679910644065863E-2</v>
      </c>
      <c r="C68">
        <v>1.8405761106979376E-2</v>
      </c>
      <c r="D68">
        <v>1.7500113233100897E-2</v>
      </c>
      <c r="E68">
        <v>1.7059262379180914E-2</v>
      </c>
      <c r="F68">
        <v>1.7379235013496405E-2</v>
      </c>
      <c r="G68">
        <v>1.8304746135246283E-2</v>
      </c>
      <c r="H68">
        <v>1.7486419065963751E-2</v>
      </c>
      <c r="I68">
        <v>1.7441059931289679E-2</v>
      </c>
      <c r="J68">
        <v>1.7612029894363411E-2</v>
      </c>
      <c r="K68">
        <v>1.7886828168403632E-2</v>
      </c>
      <c r="L68">
        <v>1.6814376696121222E-2</v>
      </c>
    </row>
    <row r="69" spans="1:12" x14ac:dyDescent="0.25">
      <c r="A69" t="s">
        <v>19</v>
      </c>
      <c r="B69">
        <v>184.75143959826221</v>
      </c>
      <c r="C69">
        <v>184.49509529076803</v>
      </c>
      <c r="D69">
        <v>184.07624293082938</v>
      </c>
      <c r="E69">
        <v>184.09199921137076</v>
      </c>
      <c r="F69">
        <v>183.88091410201775</v>
      </c>
      <c r="G69">
        <v>183.87901202839601</v>
      </c>
      <c r="H69">
        <v>183.92590799218408</v>
      </c>
      <c r="I69">
        <v>183.89553342944367</v>
      </c>
      <c r="J69">
        <v>184.36611900244941</v>
      </c>
      <c r="K69">
        <v>183.71545240730029</v>
      </c>
      <c r="L69">
        <v>184.3650315970539</v>
      </c>
    </row>
    <row r="70" spans="1:12" x14ac:dyDescent="0.25">
      <c r="A70" t="s">
        <v>20</v>
      </c>
      <c r="B70">
        <v>1016.402320089356</v>
      </c>
      <c r="C70">
        <v>1016.2873942388931</v>
      </c>
      <c r="D70">
        <v>1016.1254998867669</v>
      </c>
      <c r="E70">
        <v>1015.9929407376208</v>
      </c>
      <c r="F70">
        <v>1015.9036207649865</v>
      </c>
      <c r="G70">
        <v>1015.7776952538647</v>
      </c>
      <c r="H70">
        <v>1015.6325135809341</v>
      </c>
      <c r="I70">
        <v>1015.6075589400687</v>
      </c>
      <c r="J70">
        <v>1015.5351879701057</v>
      </c>
      <c r="K70">
        <v>1015.3911131718315</v>
      </c>
      <c r="L70">
        <v>1015.2737856233039</v>
      </c>
    </row>
    <row r="71" spans="1:12" x14ac:dyDescent="0.25">
      <c r="A71" t="s">
        <v>21</v>
      </c>
      <c r="B71">
        <v>831.65088049109374</v>
      </c>
      <c r="C71">
        <v>831.79229894812499</v>
      </c>
      <c r="D71">
        <v>832.04925695593749</v>
      </c>
      <c r="E71">
        <v>831.90094152624999</v>
      </c>
      <c r="F71">
        <v>832.02270666296874</v>
      </c>
      <c r="G71">
        <v>831.89868322546874</v>
      </c>
      <c r="H71">
        <v>831.70660558874999</v>
      </c>
      <c r="I71">
        <v>831.71202551062504</v>
      </c>
      <c r="J71">
        <v>831.16906896765624</v>
      </c>
      <c r="K71">
        <v>831.67566076453124</v>
      </c>
      <c r="L71">
        <v>830.90875402624999</v>
      </c>
    </row>
    <row r="73" spans="1:12" x14ac:dyDescent="0.25">
      <c r="A73" s="9" t="s">
        <v>26</v>
      </c>
      <c r="B73">
        <v>1</v>
      </c>
      <c r="C73">
        <v>2</v>
      </c>
      <c r="D73">
        <v>3</v>
      </c>
      <c r="E73">
        <v>4</v>
      </c>
      <c r="F73">
        <v>5</v>
      </c>
      <c r="G73">
        <v>6</v>
      </c>
      <c r="H73">
        <v>7</v>
      </c>
      <c r="I73">
        <v>8</v>
      </c>
      <c r="J73">
        <v>9</v>
      </c>
      <c r="K73">
        <v>10</v>
      </c>
      <c r="L73">
        <v>11</v>
      </c>
    </row>
    <row r="74" spans="1:12" x14ac:dyDescent="0.25">
      <c r="A74" t="s">
        <v>5</v>
      </c>
      <c r="B74">
        <v>21.170058875381546</v>
      </c>
      <c r="C74">
        <v>21.264532023219292</v>
      </c>
      <c r="D74">
        <v>21.264105366232481</v>
      </c>
      <c r="E74">
        <v>21.211378964306505</v>
      </c>
      <c r="F74">
        <v>21.290423327332412</v>
      </c>
      <c r="G74">
        <v>21.120806183724991</v>
      </c>
      <c r="H74">
        <v>21.245660345698191</v>
      </c>
      <c r="I74">
        <v>21.117015770052433</v>
      </c>
      <c r="J74">
        <v>21.212367057079316</v>
      </c>
      <c r="K74">
        <v>21.288253812390753</v>
      </c>
      <c r="L74">
        <v>21.157231593057709</v>
      </c>
    </row>
    <row r="75" spans="1:12" x14ac:dyDescent="0.25">
      <c r="A75" t="s">
        <v>16</v>
      </c>
      <c r="B75">
        <v>1003.8937286616347</v>
      </c>
      <c r="C75">
        <v>1003.7667801812812</v>
      </c>
      <c r="D75">
        <v>1003.6241441544777</v>
      </c>
      <c r="E75">
        <v>1003.4782287151606</v>
      </c>
      <c r="F75">
        <v>1003.3689358416121</v>
      </c>
      <c r="G75">
        <v>1003.2467648099421</v>
      </c>
      <c r="H75">
        <v>1003.1073358000737</v>
      </c>
      <c r="I75">
        <v>1003.0400264918376</v>
      </c>
      <c r="J75">
        <v>1003.0165001622692</v>
      </c>
      <c r="K75">
        <v>1002.8710914576498</v>
      </c>
      <c r="L75">
        <v>1002.7444715639989</v>
      </c>
    </row>
    <row r="76" spans="1:12" x14ac:dyDescent="0.25">
      <c r="A76" t="s">
        <v>6</v>
      </c>
      <c r="B76">
        <v>25.068492994980502</v>
      </c>
      <c r="C76">
        <v>24.979062321837162</v>
      </c>
      <c r="D76">
        <v>24.943253444604988</v>
      </c>
      <c r="E76">
        <v>25.030794308688833</v>
      </c>
      <c r="F76">
        <v>24.947855184800073</v>
      </c>
      <c r="G76">
        <v>25.077607052720925</v>
      </c>
      <c r="H76">
        <v>24.983843829713461</v>
      </c>
      <c r="I76">
        <v>25.00226708977889</v>
      </c>
      <c r="J76">
        <v>25.041408158120984</v>
      </c>
      <c r="K76">
        <v>24.975295356046907</v>
      </c>
      <c r="L76">
        <v>25.099328958022202</v>
      </c>
    </row>
    <row r="77" spans="1:12" x14ac:dyDescent="0.25">
      <c r="A77" t="s">
        <v>3</v>
      </c>
      <c r="B77">
        <v>21.155779721730671</v>
      </c>
      <c r="C77">
        <v>21.19828468098488</v>
      </c>
      <c r="D77">
        <v>21.276265356388862</v>
      </c>
      <c r="E77">
        <v>21.154234464215826</v>
      </c>
      <c r="F77">
        <v>21.232218450746704</v>
      </c>
      <c r="G77">
        <v>21.177535076124862</v>
      </c>
      <c r="H77">
        <v>21.188888413388003</v>
      </c>
      <c r="I77">
        <v>21.256211505851862</v>
      </c>
      <c r="J77">
        <v>21.154986928608952</v>
      </c>
      <c r="K77">
        <v>21.235016957030936</v>
      </c>
      <c r="L77">
        <v>21.113428368375175</v>
      </c>
    </row>
    <row r="78" spans="1:12" x14ac:dyDescent="0.25">
      <c r="A78" t="s">
        <v>2</v>
      </c>
      <c r="B78">
        <v>21.137994939596549</v>
      </c>
      <c r="C78">
        <v>21.193968612658274</v>
      </c>
      <c r="D78">
        <v>21.264882009949606</v>
      </c>
      <c r="E78">
        <v>21.135296448606322</v>
      </c>
      <c r="F78">
        <v>21.219259459663178</v>
      </c>
      <c r="G78">
        <v>21.121556122645256</v>
      </c>
      <c r="H78">
        <v>21.171872210929156</v>
      </c>
      <c r="I78">
        <v>21.211933751296435</v>
      </c>
      <c r="J78">
        <v>21.137409077938578</v>
      </c>
      <c r="K78">
        <v>21.229008394910888</v>
      </c>
      <c r="L78">
        <v>21.098924337675552</v>
      </c>
    </row>
    <row r="79" spans="1:12" x14ac:dyDescent="0.25">
      <c r="A79" t="s">
        <v>17</v>
      </c>
      <c r="B79">
        <v>1016.4640697284614</v>
      </c>
      <c r="C79">
        <v>1016.3416238685887</v>
      </c>
      <c r="D79">
        <v>1016.1886049631121</v>
      </c>
      <c r="E79">
        <v>1016.0490670465974</v>
      </c>
      <c r="F79">
        <v>1015.9383661971831</v>
      </c>
      <c r="G79">
        <v>1015.8165075478028</v>
      </c>
      <c r="H79">
        <v>1015.678678295874</v>
      </c>
      <c r="I79">
        <v>1015.6057437101645</v>
      </c>
      <c r="J79">
        <v>1015.587930583501</v>
      </c>
      <c r="K79">
        <v>1015.4496148943308</v>
      </c>
      <c r="L79">
        <v>1015.3144628016087</v>
      </c>
    </row>
    <row r="80" spans="1:12" x14ac:dyDescent="0.25">
      <c r="A80" t="s">
        <v>18</v>
      </c>
      <c r="B80">
        <v>1.8050649591373452E-2</v>
      </c>
      <c r="C80">
        <v>1.79534185205068E-2</v>
      </c>
      <c r="D80">
        <v>1.7856977704571623E-2</v>
      </c>
      <c r="E80">
        <v>1.7826588073774689E-2</v>
      </c>
      <c r="F80">
        <v>1.7870232482337954E-2</v>
      </c>
      <c r="G80">
        <v>1.7787338118823267E-2</v>
      </c>
      <c r="H80">
        <v>1.7702961055866721E-2</v>
      </c>
      <c r="I80">
        <v>1.7541962786905892E-2</v>
      </c>
      <c r="J80">
        <v>1.7786080907874362E-2</v>
      </c>
      <c r="K80">
        <v>1.771665400331808E-2</v>
      </c>
      <c r="L80">
        <v>1.7662937107873932E-2</v>
      </c>
    </row>
    <row r="81" spans="1:12" x14ac:dyDescent="0.25">
      <c r="A81" t="s">
        <v>19</v>
      </c>
      <c r="B81">
        <v>184.64840784190241</v>
      </c>
      <c r="C81">
        <v>184.61427318324789</v>
      </c>
      <c r="D81">
        <v>184.4475780651934</v>
      </c>
      <c r="E81">
        <v>184.20672345967367</v>
      </c>
      <c r="F81">
        <v>183.93901621644292</v>
      </c>
      <c r="G81">
        <v>183.84541408197364</v>
      </c>
      <c r="H81">
        <v>183.91462738281297</v>
      </c>
      <c r="I81">
        <v>183.97531925483835</v>
      </c>
      <c r="J81">
        <v>184.22988371114255</v>
      </c>
      <c r="K81">
        <v>184.17867293045302</v>
      </c>
      <c r="L81">
        <v>184.0795288730954</v>
      </c>
    </row>
    <row r="82" spans="1:12" x14ac:dyDescent="0.25">
      <c r="A82" t="s">
        <v>20</v>
      </c>
      <c r="B82">
        <v>1016.4460190788699</v>
      </c>
      <c r="C82">
        <v>1016.3236704500681</v>
      </c>
      <c r="D82">
        <v>1016.1707479854074</v>
      </c>
      <c r="E82">
        <v>1016.0312404585236</v>
      </c>
      <c r="F82">
        <v>1015.9204959647008</v>
      </c>
      <c r="G82">
        <v>1015.7987202096839</v>
      </c>
      <c r="H82">
        <v>1015.660975334818</v>
      </c>
      <c r="I82">
        <v>1015.5882017473774</v>
      </c>
      <c r="J82">
        <v>1015.5701445025932</v>
      </c>
      <c r="K82">
        <v>1015.4318982403274</v>
      </c>
      <c r="L82">
        <v>1015.2967998645007</v>
      </c>
    </row>
    <row r="83" spans="1:12" x14ac:dyDescent="0.25">
      <c r="A83" t="s">
        <v>21</v>
      </c>
      <c r="B83">
        <v>831.79761123696744</v>
      </c>
      <c r="C83">
        <v>831.70939726682025</v>
      </c>
      <c r="D83">
        <v>831.72316992021399</v>
      </c>
      <c r="E83">
        <v>831.82451699884996</v>
      </c>
      <c r="F83">
        <v>831.98147974825781</v>
      </c>
      <c r="G83">
        <v>831.95330612771022</v>
      </c>
      <c r="H83">
        <v>831.74634795200507</v>
      </c>
      <c r="I83">
        <v>831.61288249253903</v>
      </c>
      <c r="J83">
        <v>831.34026079145053</v>
      </c>
      <c r="K83">
        <v>831.25322530987444</v>
      </c>
      <c r="L83">
        <v>831.21727099140526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TestPieceData</vt:lpstr>
      <vt:lpstr>Measurements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Anwender</dc:creator>
  <cp:lastModifiedBy>Anwender</cp:lastModifiedBy>
  <cp:lastPrinted>2014-08-15T11:58:28Z</cp:lastPrinted>
  <dcterms:created xsi:type="dcterms:W3CDTF">2014-06-05T12:51:02Z</dcterms:created>
  <dcterms:modified xsi:type="dcterms:W3CDTF">2020-04-09T14:11:06Z</dcterms:modified>
</cp:coreProperties>
</file>